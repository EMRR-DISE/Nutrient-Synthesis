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66925"/>
  <mc:AlternateContent xmlns:mc="http://schemas.openxmlformats.org/markup-compatibility/2006">
    <mc:Choice Requires="x15">
      <x15ac:absPath xmlns:x15ac="http://schemas.microsoft.com/office/spreadsheetml/2010/11/ac" url="https://cawater-my.sharepoint.com/personal/rosemary_hartman_water_ca_gov/Documents/Nutrient synthesis/Nutrient-Synthesis/data/"/>
    </mc:Choice>
  </mc:AlternateContent>
  <xr:revisionPtr revIDLastSave="0" documentId="8_{EE406832-D7D9-4EA9-95CA-B100E64630B7}" xr6:coauthVersionLast="47" xr6:coauthVersionMax="47" xr10:uidLastSave="{00000000-0000-0000-0000-000000000000}"/>
  <bookViews>
    <workbookView xWindow="-110" yWindow="-110" windowWidth="19420" windowHeight="11500"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2" l="1"/>
  <c r="D20" i="2"/>
  <c r="D21" i="2"/>
  <c r="D17" i="2"/>
  <c r="D18" i="2"/>
  <c r="D19" i="2"/>
  <c r="D16" i="2"/>
  <c r="D15" i="2"/>
  <c r="E14" i="2"/>
  <c r="E13" i="2"/>
  <c r="E12" i="2"/>
  <c r="E11" i="2"/>
  <c r="E9" i="2"/>
  <c r="D10" i="2" l="1"/>
  <c r="D7" i="2"/>
  <c r="D5" i="2"/>
  <c r="D4" i="2"/>
  <c r="E3" i="2"/>
  <c r="D2" i="2"/>
</calcChain>
</file>

<file path=xl/sharedStrings.xml><?xml version="1.0" encoding="utf-8"?>
<sst xmlns="http://schemas.openxmlformats.org/spreadsheetml/2006/main" count="194" uniqueCount="92">
  <si>
    <t>Taxon</t>
  </si>
  <si>
    <t>Higher taxonomy</t>
  </si>
  <si>
    <t>Grazing rate</t>
  </si>
  <si>
    <t>Source</t>
  </si>
  <si>
    <t>Notes</t>
  </si>
  <si>
    <t>Acartia spp. Adult</t>
  </si>
  <si>
    <t>Copepod</t>
  </si>
  <si>
    <t>1) -5.79 to 4.88 mL/copepod hour  2) 0 to 6 ng C/copepod hour        3) 18.9 to 37.2 ml / individual day 4) Clearance rate 1.1-2 mL/individual hour and ingestion rate of 138-261 cells/individual day</t>
  </si>
  <si>
    <t>1) Bentley et al 2021 2) Bollens and Penry 2003                                                               3) Froneman 2001 4) Outi et al 2009</t>
  </si>
  <si>
    <r>
      <rPr>
        <sz val="11"/>
        <color rgb="FF000000"/>
        <rFont val="Calibri"/>
        <scheme val="minor"/>
      </rPr>
      <t>1) Study conducted with Acartia tonsa. grazing rates measured from 1 day and 7 day experiments. Grazing rate range from 1 day was -1.15 to 4.88 mL/copepod hour. Grazing rate from 7 day experiment was -5.79 to 3.78 mL/copepod hour        2) Experiments conducted with female adult copepods collected from the San Francisco Estuary. Copepods used were Acartia tonsa, Acartia californiensis, Acartiura spp.- collectively called "Acartia" hereafter. Feeding incubations were measured for 12 hour periods. Prey selectivity was observed and varied over February - May timeframe. Larger prey were favored over smaller species.                                   3) Study conducted in Kariega Estuary, South Africa. Acartia longipatella filtration rate of 18.9 - 37.2 mL ind</t>
    </r>
    <r>
      <rPr>
        <vertAlign val="superscript"/>
        <sz val="11"/>
        <color rgb="FF000000"/>
        <rFont val="Calibri"/>
        <scheme val="minor"/>
      </rPr>
      <t>-1</t>
    </r>
    <r>
      <rPr>
        <sz val="11"/>
        <color rgb="FF000000"/>
        <rFont val="Calibri"/>
        <scheme val="minor"/>
      </rPr>
      <t xml:space="preserve"> d</t>
    </r>
    <r>
      <rPr>
        <vertAlign val="superscript"/>
        <sz val="11"/>
        <color rgb="FF000000"/>
        <rFont val="Calibri"/>
        <scheme val="minor"/>
      </rPr>
      <t>-1</t>
    </r>
    <r>
      <rPr>
        <sz val="11"/>
        <color rgb="FF000000"/>
        <rFont val="Calibri"/>
        <scheme val="minor"/>
      </rPr>
      <t xml:space="preserve"> corresponding to an ingestion rate of 0.11 to 3.73 mL ind</t>
    </r>
    <r>
      <rPr>
        <vertAlign val="superscript"/>
        <sz val="11"/>
        <color rgb="FF000000"/>
        <rFont val="Calibri"/>
        <scheme val="minor"/>
      </rPr>
      <t>-1</t>
    </r>
    <r>
      <rPr>
        <sz val="11"/>
        <color rgb="FF000000"/>
        <rFont val="Calibri"/>
        <scheme val="minor"/>
      </rPr>
      <t xml:space="preserve"> d</t>
    </r>
    <r>
      <rPr>
        <vertAlign val="superscript"/>
        <sz val="11"/>
        <color rgb="FF000000"/>
        <rFont val="Calibri"/>
        <scheme val="minor"/>
      </rPr>
      <t>-1</t>
    </r>
    <r>
      <rPr>
        <sz val="11"/>
        <color rgb="FF000000"/>
        <rFont val="Calibri"/>
        <scheme val="minor"/>
      </rPr>
      <t>. Seasonal differences in filtration were observed with highest filtration rates in the summer.                                                                                                              4) Grazing experiment with Acartia bifilosa in 24-hour incubations. 24-hour incubations. Copepods collected from Tvarminne Storfjard located off the southwest coast of Finland and study conducted during summers of 2004 and 2005</t>
    </r>
  </si>
  <si>
    <t>Acartia spp. juvenile</t>
  </si>
  <si>
    <r>
      <t>1) mean filtering rate range: 0.010-0.100 mL animal</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-1</t>
    </r>
  </si>
  <si>
    <t>1) Allan et al 1977</t>
  </si>
  <si>
    <t>1) Grazing study was conducted with Acartia spp (A. tonsa and A. clausi) in Chesapeake Bay. Listed filtering rate range spans from nauplius to stage VI copepodid</t>
  </si>
  <si>
    <t>Acartiella sinensis Adult</t>
  </si>
  <si>
    <t>1) 0.25±0.09 l/day for L. tetraspina nauplii and 0.32±0.15 l/day for P. forbesi nauplii</t>
  </si>
  <si>
    <t>1) Slaughter et al 2016</t>
  </si>
  <si>
    <t xml:space="preserve">1) Study conducted in the San Francisco Estuary. Measured clearance rates (CR) of Acartiella sinensis on Limnoithona tetraspina and Pseudodiaptomus forbesi. Feeding trials were conducted with nauplii and mixed life stages of prey. Mean clearance rates were 0.25±0.09 l/day for L. tetraspina nauplii and 0.32±0.15 l/day for P. forbesi nauplii. For mixed life stage treaments, CR on Limnoithona copepodites was 0.08 ± 0.07 l/day. </t>
  </si>
  <si>
    <t xml:space="preserve">Bosmina longirostris </t>
  </si>
  <si>
    <t>Cladocera</t>
  </si>
  <si>
    <r>
      <t>1) MSIR of 3 algal size classes (1-15, 3-15 and 1-3 um): 32.5, 21.4±5.9, 3±0.3 pgC pgC</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-1</t>
    </r>
    <r>
      <rPr>
        <sz val="11"/>
        <color theme="1"/>
        <rFont val="Calibri"/>
        <family val="2"/>
        <scheme val="minor"/>
      </rPr>
      <t>; MSIR of 2 bacterial size classes (1-3 and &lt;1): 4.6±1.4, 0.7±0.2 pgC pgC</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 xml:space="preserve">-1                 </t>
    </r>
    <r>
      <rPr>
        <sz val="11"/>
        <color theme="1"/>
        <rFont val="Calibri"/>
        <family val="2"/>
        <scheme val="minor"/>
      </rPr>
      <t>2) &lt;10 uL ind</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-1</t>
    </r>
  </si>
  <si>
    <t>1) Onandia et al 2015                                                                              2) Bogdan and Gilbert 1982</t>
  </si>
  <si>
    <t xml:space="preserve">1) Study conducted on the Mediterranean coast in Albufera de Valencia in 2012. Mass specific ingestion rate (MSIR) for Bosmina longirostris. B. longirostris preferentially fed upon algae of size ranges 1-3, 3-15 and 1-15 um over &lt;1um bacteria. 2) This study was conducted in Star Lake, a eutrophic lake in Vermont between May 1979-Feb 1980. Clearance rates by Bosmina were linearly dependent on water temperature. </t>
  </si>
  <si>
    <t>Copepod nauplii</t>
  </si>
  <si>
    <r>
      <t>1) 14.4-87.8 ng C nauplius</t>
    </r>
    <r>
      <rPr>
        <vertAlign val="superscript"/>
        <sz val="11"/>
        <color theme="1"/>
        <rFont val="Calibri"/>
        <family val="2"/>
        <scheme val="minor"/>
      </rPr>
      <t>-1</t>
    </r>
    <r>
      <rPr>
        <sz val="11"/>
        <color theme="1"/>
        <rFont val="Calibri"/>
        <family val="2"/>
        <scheme val="minor"/>
      </rPr>
      <t xml:space="preserve"> hour</t>
    </r>
    <r>
      <rPr>
        <vertAlign val="superscript"/>
        <sz val="11"/>
        <color theme="1"/>
        <rFont val="Calibri"/>
        <family val="2"/>
        <scheme val="minor"/>
      </rPr>
      <t>-1</t>
    </r>
    <r>
      <rPr>
        <sz val="11"/>
        <color theme="1"/>
        <rFont val="Calibri"/>
        <family val="2"/>
        <scheme val="minor"/>
      </rPr>
      <t xml:space="preserve">  for P. crassirostris and 25.4-73.8 ng C nauplius</t>
    </r>
    <r>
      <rPr>
        <vertAlign val="superscript"/>
        <sz val="11"/>
        <color theme="1"/>
        <rFont val="Calibri"/>
        <family val="2"/>
        <scheme val="minor"/>
      </rPr>
      <t>-1</t>
    </r>
    <r>
      <rPr>
        <sz val="11"/>
        <color theme="1"/>
        <rFont val="Calibri"/>
        <family val="2"/>
        <scheme val="minor"/>
      </rPr>
      <t xml:space="preserve"> hour</t>
    </r>
    <r>
      <rPr>
        <vertAlign val="superscript"/>
        <sz val="11"/>
        <color theme="1"/>
        <rFont val="Calibri"/>
        <family val="2"/>
        <scheme val="minor"/>
      </rPr>
      <t>-1</t>
    </r>
    <r>
      <rPr>
        <sz val="11"/>
        <color theme="1"/>
        <rFont val="Calibri"/>
        <family val="2"/>
        <scheme val="minor"/>
      </rPr>
      <t xml:space="preserve"> for B. similis   2) 0.04-2.05 ug C ug</t>
    </r>
    <r>
      <rPr>
        <vertAlign val="superscript"/>
        <sz val="11"/>
        <color theme="1"/>
        <rFont val="Calibri"/>
        <family val="2"/>
        <scheme val="minor"/>
      </rPr>
      <t>-1</t>
    </r>
    <r>
      <rPr>
        <sz val="11"/>
        <color theme="1"/>
        <rFont val="Calibri"/>
        <family val="2"/>
        <scheme val="minor"/>
      </rPr>
      <t xml:space="preserve"> nauplii C d</t>
    </r>
    <r>
      <rPr>
        <vertAlign val="superscript"/>
        <sz val="11"/>
        <color theme="1"/>
        <rFont val="Calibri"/>
        <family val="2"/>
        <scheme val="minor"/>
      </rPr>
      <t>-1</t>
    </r>
    <r>
      <rPr>
        <sz val="11"/>
        <color theme="1"/>
        <rFont val="Calibri"/>
        <family val="2"/>
        <scheme val="minor"/>
      </rPr>
      <t xml:space="preserve"> and 0.04-3.38 ug C ug</t>
    </r>
    <r>
      <rPr>
        <vertAlign val="superscript"/>
        <sz val="11"/>
        <color theme="1"/>
        <rFont val="Calibri"/>
        <family val="2"/>
        <scheme val="minor"/>
      </rPr>
      <t>-1</t>
    </r>
    <r>
      <rPr>
        <sz val="11"/>
        <color theme="1"/>
        <rFont val="Calibri"/>
        <family val="2"/>
        <scheme val="minor"/>
      </rPr>
      <t xml:space="preserve"> copepod C d</t>
    </r>
    <r>
      <rPr>
        <vertAlign val="superscript"/>
        <sz val="11"/>
        <color theme="1"/>
        <rFont val="Calibri"/>
        <family val="2"/>
        <scheme val="minor"/>
      </rPr>
      <t>-1</t>
    </r>
    <r>
      <rPr>
        <sz val="11"/>
        <color theme="1"/>
        <rFont val="Calibri"/>
        <family val="2"/>
        <scheme val="minor"/>
      </rPr>
      <t xml:space="preserve"> 3) 1.5-2.5x10</t>
    </r>
    <r>
      <rPr>
        <vertAlign val="superscript"/>
        <sz val="11"/>
        <color theme="1"/>
        <rFont val="Calibri"/>
        <family val="2"/>
        <scheme val="minor"/>
      </rPr>
      <t xml:space="preserve">6 </t>
    </r>
    <r>
      <rPr>
        <sz val="11"/>
        <color theme="1"/>
        <rFont val="Calibri"/>
        <family val="2"/>
        <scheme val="minor"/>
      </rPr>
      <t>cells mL</t>
    </r>
    <r>
      <rPr>
        <vertAlign val="superscript"/>
        <sz val="11"/>
        <color theme="1"/>
        <rFont val="Calibri"/>
        <family val="2"/>
        <scheme val="minor"/>
      </rPr>
      <t xml:space="preserve">-1 </t>
    </r>
    <r>
      <rPr>
        <sz val="11"/>
        <color theme="1"/>
        <rFont val="Calibri"/>
        <family val="2"/>
        <scheme val="minor"/>
      </rPr>
      <t xml:space="preserve"> 4) E. affinis 0.015 mL animal</t>
    </r>
    <r>
      <rPr>
        <vertAlign val="superscript"/>
        <sz val="11"/>
        <color theme="1"/>
        <rFont val="Calibri"/>
        <family val="2"/>
        <scheme val="minor"/>
      </rPr>
      <t>-1</t>
    </r>
    <r>
      <rPr>
        <sz val="11"/>
        <color theme="1"/>
        <rFont val="Calibri"/>
        <family val="2"/>
        <scheme val="minor"/>
      </rPr>
      <t xml:space="preserve"> hour</t>
    </r>
    <r>
      <rPr>
        <vertAlign val="superscript"/>
        <sz val="11"/>
        <color theme="1"/>
        <rFont val="Calibri"/>
        <family val="2"/>
        <scheme val="minor"/>
      </rPr>
      <t>-1</t>
    </r>
    <r>
      <rPr>
        <sz val="11"/>
        <color theme="1"/>
        <rFont val="Calibri"/>
        <family val="2"/>
        <scheme val="minor"/>
      </rPr>
      <t>; Acartia tonsa 0.010 mL animal</t>
    </r>
    <r>
      <rPr>
        <vertAlign val="superscript"/>
        <sz val="11"/>
        <color theme="1"/>
        <rFont val="Calibri"/>
        <family val="2"/>
        <scheme val="minor"/>
      </rPr>
      <t>-1</t>
    </r>
    <r>
      <rPr>
        <sz val="11"/>
        <color theme="1"/>
        <rFont val="Calibri"/>
        <family val="2"/>
        <scheme val="minor"/>
      </rPr>
      <t xml:space="preserve"> hour</t>
    </r>
    <r>
      <rPr>
        <vertAlign val="superscript"/>
        <sz val="11"/>
        <color theme="1"/>
        <rFont val="Calibri"/>
        <family val="2"/>
        <scheme val="minor"/>
      </rPr>
      <t>-1</t>
    </r>
  </si>
  <si>
    <t>1) Jungbluth et al 2017 2) Lopez et al 2007 3) Roff et al 1995 4) Allan et al 1977</t>
  </si>
  <si>
    <t xml:space="preserve">1) Study conducted in Oahu, HI with 2 copepod species - Parvocalanus crassirostris and Bestiolina similis N3 and N4 nauplii. 2) Study conducted in the Cantabrian Sea in the southern Bay of Biscay. 3) Study was conducted off the coasts of Jamaica with nauplii of 11 species using fluorescently labelled bacteria as prey. 4) Study conducted with Acartia spp and Eurytemora affinis. Mean filtration rates of Eurytemora affinis nauplii were stage III and IV and Acartia tonsa nauplii were stage II, III and IV. </t>
  </si>
  <si>
    <t xml:space="preserve">Daphnia spp. </t>
  </si>
  <si>
    <t>1) 0.83 ± 0.20 (low food conc.) to 1.55 ± 0.27 (high food conc.) mL individual⁻¹ h⁻¹
2) 1.1-1.7 mL pred⁻¹ h⁻¹</t>
  </si>
  <si>
    <t>1) Sarnelle and Wilson 2008
2) Gifford et al. 2007</t>
  </si>
  <si>
    <t>Eurytemora carolleeae adult</t>
  </si>
  <si>
    <t>1.24 to</t>
  </si>
  <si>
    <t>Eurytemora carolleeae juvenile</t>
  </si>
  <si>
    <t>1) 4.12 mL copepod^-1  h^-1</t>
  </si>
  <si>
    <t>1) Bently et al  2021</t>
  </si>
  <si>
    <t>Gammarus daiberi</t>
  </si>
  <si>
    <t>Amphipod</t>
  </si>
  <si>
    <t xml:space="preserve">Hyperacanthomysis longirostris </t>
  </si>
  <si>
    <t>Mysid</t>
  </si>
  <si>
    <t>Didn't find anything</t>
  </si>
  <si>
    <t>Limnoithona tetraspina</t>
  </si>
  <si>
    <t>^</t>
  </si>
  <si>
    <t>1) Bouley and Kimmerer 2006
2) Gifford, Rollwagen-Bollens, and Bollens 2007
3) Kayfetz and Kimmerer 2017</t>
  </si>
  <si>
    <r>
      <t>1) Study conducted with Limnoithona tetraspina, Eurytemora affinis, and Pseudodiaptomus forbesi. Grazing rates were measured from five natural prey-field grazing incubations (1 rpm for 24 h, 12:12 h light:dark cycle), using protocols by Båmstedt et al (2000) and Rollwagen-Bollens &amp; Penry (2003). Daily grazing rates of L. tetraspina feeding on ciliates, measured as the percentage of copepod carbon consumed as ciliates d</t>
    </r>
    <r>
      <rPr>
        <vertAlign val="superscript"/>
        <sz val="11"/>
        <color theme="1"/>
        <rFont val="Calibri"/>
        <family val="2"/>
        <scheme val="minor"/>
      </rPr>
      <t>-1</t>
    </r>
    <r>
      <rPr>
        <sz val="11"/>
        <color theme="1"/>
        <rFont val="Calibri"/>
        <family val="2"/>
        <scheme val="minor"/>
      </rPr>
      <t>, ranged from 0.6 to 8.3% d</t>
    </r>
    <r>
      <rPr>
        <vertAlign val="superscript"/>
        <sz val="11"/>
        <color theme="1"/>
        <rFont val="Calibri"/>
        <family val="2"/>
        <scheme val="minor"/>
      </rPr>
      <t>-1</t>
    </r>
    <r>
      <rPr>
        <sz val="11"/>
        <color theme="1"/>
        <rFont val="Calibri"/>
        <family val="2"/>
        <scheme val="minor"/>
      </rPr>
      <t xml:space="preserve"> with median 2.3% d</t>
    </r>
    <r>
      <rPr>
        <vertAlign val="superscript"/>
        <sz val="11"/>
        <color theme="1"/>
        <rFont val="Calibri"/>
        <family val="2"/>
        <scheme val="minor"/>
      </rPr>
      <t>-1</t>
    </r>
    <r>
      <rPr>
        <sz val="11"/>
        <color theme="1"/>
        <rFont val="Calibri"/>
        <family val="2"/>
        <scheme val="minor"/>
      </rPr>
      <t>.
2) Study conducted with Limnoithona tetraspina, Daphnia sp., Acartia spp., and Oithona davisae. Feeding experiments were conducted on nanoplankton (2 to 15 μm) and microplankton (15 to 200 μm) by incubations (1 rpm for 12 h) using the protocols desribed by Gifford &amp; Dagg (1988) and Rollwagen-Bollens &amp; Penry (2003). L. tetraspina cleared only aloricate ciliates and flagellates at rates ranging 0.8 to 1.0 ml pred.</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-1</t>
    </r>
    <r>
      <rPr>
        <sz val="11"/>
        <color theme="1"/>
        <rFont val="Calibri"/>
        <family val="2"/>
        <scheme val="minor"/>
      </rPr>
      <t>.
3) Study conducted with Pseudodiaptomus forbesi and Limnoithona tetraspina. Six grazing experiments were conducted with P. forbesi, two of which also included Limnoithona tetraspina. Grazing rates were measured from incubations (1-2 rpm for 24 h, 14:10 h light:dark cycle) for various prey taxon (centric diatoms, pennate diatoms, diatoms 7-15 μm, flagellates, flagellates 7-15 μm, dinoflagellates, and ciliates), some analyses were done by microscopy and some by FlowCAM. Population clearance rates as a % of water volume cleared per day for the various prey taxon for P. forbesi ranged 0.8 to 26.6% water volume d-1 and for Limnoithona tetraspina ranged 4.1 to 8.6% water volume d-1.</t>
    </r>
  </si>
  <si>
    <t>Neomysis kadiakensis</t>
  </si>
  <si>
    <t>Polyarthra spp.</t>
  </si>
  <si>
    <t>Rotifer</t>
  </si>
  <si>
    <r>
      <t>1) 1.6 to 31.6 nL ind</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-1</t>
    </r>
    <r>
      <rPr>
        <sz val="11"/>
        <color theme="1"/>
        <rFont val="Calibri"/>
        <family val="2"/>
        <scheme val="minor"/>
      </rPr>
      <t xml:space="preserve"> or 0.003% d</t>
    </r>
    <r>
      <rPr>
        <vertAlign val="superscript"/>
        <sz val="11"/>
        <color theme="1"/>
        <rFont val="Calibri"/>
        <family val="2"/>
        <scheme val="minor"/>
      </rPr>
      <t>-1</t>
    </r>
    <r>
      <rPr>
        <sz val="11"/>
        <color theme="1"/>
        <rFont val="Calibri"/>
        <family val="2"/>
        <scheme val="minor"/>
      </rPr>
      <t xml:space="preserve"> of total water
2) 4 μl l</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-1</t>
    </r>
  </si>
  <si>
    <t>1) Paschale and Warwick 2017
2) Keckeis et al 2003</t>
  </si>
  <si>
    <r>
      <t>1) Study conducted with Polyarthra remata, Polyarthra euryptera, Anuraeopsis fissa, Keratella cochlearis, and Conochilus unicornis. Grazing rates were measured by incubations (20 min) for four different sizes of flourescent micropsheres (0.5, 1.75, 3, and 6 μm). The rotifer grazing rates were compared between a thermokarst pond and a rock basin reference lake. The Polyarthra sp. mean clearance rates for the various sizes of microspheres ranged 0.0 to 3.7 nL ind</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-1</t>
    </r>
    <r>
      <rPr>
        <sz val="11"/>
        <color theme="1"/>
        <rFont val="Calibri"/>
        <family val="2"/>
        <scheme val="minor"/>
      </rPr>
      <t xml:space="preserve"> in the thermokarst pond and ranged 1.6 to 31.6 nL ind</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-1</t>
    </r>
    <r>
      <rPr>
        <sz val="11"/>
        <color theme="1"/>
        <rFont val="Calibri"/>
        <family val="2"/>
        <scheme val="minor"/>
      </rPr>
      <t xml:space="preserve"> in the rock basin lake. The Polyarthra sp. daily maximum filtration as a % of the water column was 0.006% in the thermokarst pond and 0.003% in the rock basin lake.
2) Study conducted with phytoplankton separated by size classes (&lt;5, 5-10, 11-20, 21-50, and &gt;50 μm). Grazing rates were calculated using clearance rates from literature for the most abundant planktonic species with filtering or raptorial feeding modes. Relative grazing rates (% grazing rate per day) were calculated for rotifers, cladocerans, and copepods. The literature value used for Polyarthra vulgaris clearance rate was 4 μl l</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-1</t>
    </r>
    <r>
      <rPr>
        <sz val="11"/>
        <color theme="1"/>
        <rFont val="Calibri"/>
        <family val="2"/>
        <scheme val="minor"/>
      </rPr>
      <t>.</t>
    </r>
  </si>
  <si>
    <t>Pseudodiaptomus forbesi adult</t>
  </si>
  <si>
    <r>
      <rPr>
        <sz val="11"/>
        <color rgb="FF000000"/>
        <rFont val="Calibri"/>
        <scheme val="minor"/>
      </rPr>
      <t>0.8 to 26.6% water volume d</t>
    </r>
    <r>
      <rPr>
        <vertAlign val="superscript"/>
        <sz val="11"/>
        <color rgb="FF000000"/>
        <rFont val="Calibri"/>
        <scheme val="minor"/>
      </rPr>
      <t>-1</t>
    </r>
  </si>
  <si>
    <t>Kayfetz and Kimmerer 2017</t>
  </si>
  <si>
    <r>
      <t>Study conducted with Pseudodiaptomus forbesi and Limnoithona tetraspina. Six grazing experiments were conducted with P. forbesi, two of which also included Limnoithona tetraspina. Grazing rates were measured from incubations (1-2 rpm for 24 h, 14:10 h light:dark cycle) for various prey taxon (centric diatoms, pennate diatoms, diatoms 7-15 μm, flagellates, flagellates 7-15 μm, dinoflagellates, and ciliates), some analyses were done by microscopy and some by FlowCAM. Population clearance rates as a % of water volume cleared per day for the various prey taxon for P. forbesi ranged 0.8 to 26.6% water volume d</t>
    </r>
    <r>
      <rPr>
        <vertAlign val="superscript"/>
        <sz val="11"/>
        <color theme="1"/>
        <rFont val="Calibri"/>
        <family val="2"/>
        <scheme val="minor"/>
      </rPr>
      <t>-1</t>
    </r>
    <r>
      <rPr>
        <sz val="11"/>
        <color theme="1"/>
        <rFont val="Calibri"/>
        <family val="2"/>
        <scheme val="minor"/>
      </rPr>
      <t xml:space="preserve"> and for Limnoithona tetraspina ranged 4.1 to 8.6% water volume d</t>
    </r>
    <r>
      <rPr>
        <vertAlign val="superscript"/>
        <sz val="11"/>
        <color theme="1"/>
        <rFont val="Calibri"/>
        <family val="2"/>
        <scheme val="minor"/>
      </rPr>
      <t>-1</t>
    </r>
    <r>
      <rPr>
        <sz val="11"/>
        <color theme="1"/>
        <rFont val="Calibri"/>
        <family val="2"/>
        <scheme val="minor"/>
      </rPr>
      <t>.</t>
    </r>
  </si>
  <si>
    <t>Pseudodiaptomus forbesi juvenile</t>
  </si>
  <si>
    <t>Rotifers - other</t>
  </si>
  <si>
    <t>0-7 nL ind^-1 h^-1 (pond)
5.5-948 nL ind^-1 h^-1 (lake)</t>
  </si>
  <si>
    <t>Paschale and Warwick 2017</t>
  </si>
  <si>
    <t>Study also looked at mean clearance rate for 3 other rotifer species in thermokarst pond: Keratella cochlearis and Trichocera sp. In a rock basin lake, species were Keratella cochlearis, Conochilus unicornis, and Pompholyx sulcata.</t>
  </si>
  <si>
    <t>Sinocalanus doerrii adult</t>
  </si>
  <si>
    <t>Sinocalanus doerrii juvenile</t>
  </si>
  <si>
    <t>Synchaeta spp.</t>
  </si>
  <si>
    <t>6.9-64.6 nL ind^-1 h^-1 clearance rate
1.55 uL ind^-1 d^-1 filtration rate</t>
  </si>
  <si>
    <t>Mean clearance rates (nL ind-1 h-1) determined with microspheres in thermokarst pond. Grazing rate was highest for 3um particles (64.6 +/- 18.3). For other particle sizes:  0.5 um (6.9 +/- 1.7), 1.75 um (30.7 +/- 19.7) and 6 um (7 +/- 7)</t>
  </si>
  <si>
    <t>grazing rate</t>
  </si>
  <si>
    <t>filtration rate</t>
  </si>
  <si>
    <t>feeding rate</t>
  </si>
  <si>
    <t>note: appears some species are more selective (in terms of prey/prey size)</t>
  </si>
  <si>
    <t>0 to 6 ng C/copepod hour</t>
  </si>
  <si>
    <t xml:space="preserve">18.9 to 37.2 ml / individual day </t>
  </si>
  <si>
    <t>Clearance rate 1.1-2 mL/individual hour</t>
  </si>
  <si>
    <t>138-261 cells/individual day</t>
  </si>
  <si>
    <t>1) -5.79 to 4.88 mL/copepod hour</t>
  </si>
  <si>
    <t>standardized rate mL/Day</t>
  </si>
  <si>
    <t>daily copepod C demand was estimated to be 0.2 µg C adult−1 day−1 (=0.02 µMC adult−1 day−1; [92]),</t>
  </si>
  <si>
    <t>standardized rate ugC/Da y</t>
  </si>
  <si>
    <t xml:space="preserve"> 0.2 µg C adult−1 day−1</t>
  </si>
  <si>
    <t>?</t>
  </si>
  <si>
    <t>&lt;10 uL ind-1 h-1</t>
  </si>
  <si>
    <r>
      <t>1) MSIR of 3 algal size classes (1-15, 3-15 and 1-3 um): 32.5, 21.4±5.9, 3±0.3 pgC pgC</t>
    </r>
    <r>
      <rPr>
        <vertAlign val="superscript"/>
        <sz val="11"/>
        <color theme="1"/>
        <rFont val="Calibri"/>
        <family val="2"/>
        <scheme val="minor"/>
      </rPr>
      <t>-1</t>
    </r>
    <r>
      <rPr>
        <sz val="11"/>
        <color theme="1"/>
        <rFont val="Calibri"/>
        <family val="2"/>
        <scheme val="minor"/>
      </rPr>
      <t xml:space="preserve"> h</t>
    </r>
    <r>
      <rPr>
        <vertAlign val="superscript"/>
        <sz val="11"/>
        <color theme="1"/>
        <rFont val="Calibri"/>
        <family val="2"/>
        <scheme val="minor"/>
      </rPr>
      <t>-1</t>
    </r>
  </si>
  <si>
    <t>based on average bosmina size of 0.6ug and middle aglal size class</t>
  </si>
  <si>
    <t xml:space="preserve"> 14.4-87.8 ng C nauplius-1 hour-1  for P. crassirostris </t>
  </si>
  <si>
    <t xml:space="preserve">25.4-73.8 ng C nauplius-1 hour-1 for B. similis  </t>
  </si>
  <si>
    <t>0.04-2.05 ug C ug-1 nauplii C d-1 and</t>
  </si>
  <si>
    <t xml:space="preserve"> 0.04-3.38 ug C ug-1 copepod C d-1 </t>
  </si>
  <si>
    <t xml:space="preserve"> 0.015 mL animal-1 hour-</t>
  </si>
  <si>
    <r>
      <t xml:space="preserve"> Acartia tonsa 0.010 mL animal</t>
    </r>
    <r>
      <rPr>
        <vertAlign val="superscript"/>
        <sz val="11"/>
        <color theme="1"/>
        <rFont val="Calibri"/>
        <family val="2"/>
        <scheme val="minor"/>
      </rPr>
      <t>-1</t>
    </r>
    <r>
      <rPr>
        <sz val="11"/>
        <color theme="1"/>
        <rFont val="Calibri"/>
        <family val="2"/>
        <scheme val="minor"/>
      </rPr>
      <t xml:space="preserve"> hour</t>
    </r>
    <r>
      <rPr>
        <vertAlign val="superscript"/>
        <sz val="11"/>
        <color theme="1"/>
        <rFont val="Calibri"/>
        <family val="2"/>
        <scheme val="minor"/>
      </rPr>
      <t>-1</t>
    </r>
  </si>
  <si>
    <t>1.55 ± 0.27 (high food conc.) mL individual⁻¹ h⁻¹</t>
  </si>
  <si>
    <t xml:space="preserve"> 1.1-1.7 mL pred⁻¹ h⁻¹</t>
  </si>
  <si>
    <t xml:space="preserve">1) 0.83 ± 0.20 (low food conc.) mL individual⁻¹ h⁻¹
</t>
  </si>
  <si>
    <t>1.24 to 4.12 mL copepod−1 h−1</t>
  </si>
  <si>
    <t>25 ml/ind/day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</si>
</sst>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vertAlign val="superscript"/>
      <sz val="11"/>
      <color theme="1"/>
      <name val="Calibri"/>
      <family val="2"/>
      <scheme val="minor"/>
    </font>
    <font>
      <sz val="11"/>
      <color rgb="FF000000"/>
      <name val="Calibri"/>
      <scheme val="minor"/>
    </font>
    <font>
      <vertAlign val="superscript"/>
      <sz val="11"/>
      <color rgb="FF000000"/>
      <name val="Calibri"/>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wrapText="1"/>
    </xf>
    <xf numFmtId="0" fontId="2" fillId="0" borderId="0" xfId="0" applyFont="1" applyAlignment="1">
      <alignmen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opLeftCell="A12" zoomScale="110" zoomScaleNormal="110" workbookViewId="0">
      <selection activeCell="E12" sqref="E12"/>
    </sheetView>
  </sheetViews>
  <sheetFormatPr defaultRowHeight="14.5" x14ac:dyDescent="0.35"/>
  <cols>
    <col min="1" max="1" width="36.26953125" customWidth="1"/>
    <col min="2" max="2" width="17.7265625" customWidth="1"/>
    <col min="3" max="3" width="61.26953125" style="2" customWidth="1"/>
    <col min="4" max="4" width="57.1796875" style="1" customWidth="1"/>
    <col min="5" max="5" width="71.453125" style="1" customWidth="1"/>
  </cols>
  <sheetData>
    <row r="1" spans="1:5" x14ac:dyDescent="0.35">
      <c r="A1" t="s">
        <v>0</v>
      </c>
      <c r="B1" t="s">
        <v>1</v>
      </c>
      <c r="C1" s="2" t="s">
        <v>2</v>
      </c>
      <c r="D1" s="1" t="s">
        <v>3</v>
      </c>
      <c r="E1" s="1" t="s">
        <v>4</v>
      </c>
    </row>
    <row r="2" spans="1:5" ht="246.75" customHeight="1" x14ac:dyDescent="0.35">
      <c r="A2" t="s">
        <v>5</v>
      </c>
      <c r="B2" t="s">
        <v>6</v>
      </c>
      <c r="C2" s="1" t="s">
        <v>7</v>
      </c>
      <c r="D2" s="1" t="s">
        <v>8</v>
      </c>
      <c r="E2" s="3" t="s">
        <v>9</v>
      </c>
    </row>
    <row r="3" spans="1:5" ht="43.5" x14ac:dyDescent="0.35">
      <c r="A3" t="s">
        <v>10</v>
      </c>
      <c r="B3" t="s">
        <v>6</v>
      </c>
      <c r="C3" s="1" t="s">
        <v>11</v>
      </c>
      <c r="D3" s="1" t="s">
        <v>12</v>
      </c>
      <c r="E3" s="1" t="s">
        <v>13</v>
      </c>
    </row>
    <row r="4" spans="1:5" ht="87" x14ac:dyDescent="0.35">
      <c r="A4" t="s">
        <v>14</v>
      </c>
      <c r="B4" t="s">
        <v>6</v>
      </c>
      <c r="C4" s="1" t="s">
        <v>15</v>
      </c>
      <c r="D4" s="1" t="s">
        <v>16</v>
      </c>
      <c r="E4" s="1" t="s">
        <v>17</v>
      </c>
    </row>
    <row r="5" spans="1:5" ht="87" x14ac:dyDescent="0.35">
      <c r="A5" t="s">
        <v>18</v>
      </c>
      <c r="B5" t="s">
        <v>19</v>
      </c>
      <c r="C5" s="1" t="s">
        <v>20</v>
      </c>
      <c r="D5" s="1" t="s">
        <v>21</v>
      </c>
      <c r="E5" s="1" t="s">
        <v>22</v>
      </c>
    </row>
    <row r="6" spans="1:5" ht="101.5" x14ac:dyDescent="0.35">
      <c r="A6" t="s">
        <v>23</v>
      </c>
      <c r="B6" t="s">
        <v>6</v>
      </c>
      <c r="C6" s="1" t="s">
        <v>24</v>
      </c>
      <c r="D6" s="1" t="s">
        <v>25</v>
      </c>
      <c r="E6" s="1" t="s">
        <v>26</v>
      </c>
    </row>
    <row r="7" spans="1:5" ht="43.5" x14ac:dyDescent="0.35">
      <c r="A7" t="s">
        <v>27</v>
      </c>
      <c r="B7" t="s">
        <v>19</v>
      </c>
      <c r="C7" s="1" t="s">
        <v>28</v>
      </c>
      <c r="D7" s="1" t="s">
        <v>29</v>
      </c>
    </row>
    <row r="8" spans="1:5" x14ac:dyDescent="0.35">
      <c r="A8" t="s">
        <v>30</v>
      </c>
      <c r="B8" t="s">
        <v>6</v>
      </c>
      <c r="C8" s="2" t="s">
        <v>31</v>
      </c>
    </row>
    <row r="9" spans="1:5" x14ac:dyDescent="0.35">
      <c r="A9" t="s">
        <v>32</v>
      </c>
      <c r="B9" t="s">
        <v>6</v>
      </c>
      <c r="C9" s="2" t="s">
        <v>33</v>
      </c>
      <c r="D9" s="1" t="s">
        <v>34</v>
      </c>
    </row>
    <row r="10" spans="1:5" x14ac:dyDescent="0.35">
      <c r="A10" t="s">
        <v>35</v>
      </c>
      <c r="B10" t="s">
        <v>36</v>
      </c>
    </row>
    <row r="11" spans="1:5" x14ac:dyDescent="0.35">
      <c r="A11" t="s">
        <v>37</v>
      </c>
      <c r="B11" t="s">
        <v>38</v>
      </c>
      <c r="E11" s="1" t="s">
        <v>39</v>
      </c>
    </row>
    <row r="12" spans="1:5" ht="337.5" x14ac:dyDescent="0.35">
      <c r="A12" t="s">
        <v>40</v>
      </c>
      <c r="B12" t="s">
        <v>6</v>
      </c>
      <c r="C12" s="1" t="s">
        <v>41</v>
      </c>
      <c r="D12" s="1" t="s">
        <v>42</v>
      </c>
      <c r="E12" s="1" t="s">
        <v>43</v>
      </c>
    </row>
    <row r="13" spans="1:5" x14ac:dyDescent="0.35">
      <c r="A13" t="s">
        <v>44</v>
      </c>
      <c r="B13" t="s">
        <v>38</v>
      </c>
      <c r="E13" s="1" t="s">
        <v>39</v>
      </c>
    </row>
    <row r="14" spans="1:5" ht="238" x14ac:dyDescent="0.35">
      <c r="A14" t="s">
        <v>45</v>
      </c>
      <c r="B14" t="s">
        <v>46</v>
      </c>
      <c r="C14" s="1" t="s">
        <v>47</v>
      </c>
      <c r="D14" s="1" t="s">
        <v>48</v>
      </c>
      <c r="E14" s="1" t="s">
        <v>49</v>
      </c>
    </row>
    <row r="15" spans="1:5" ht="134.5" x14ac:dyDescent="0.35">
      <c r="A15" t="s">
        <v>50</v>
      </c>
      <c r="B15" t="s">
        <v>6</v>
      </c>
      <c r="C15" s="4" t="s">
        <v>51</v>
      </c>
      <c r="D15" s="1" t="s">
        <v>52</v>
      </c>
      <c r="E15" s="1" t="s">
        <v>53</v>
      </c>
    </row>
    <row r="16" spans="1:5" x14ac:dyDescent="0.35">
      <c r="A16" t="s">
        <v>54</v>
      </c>
      <c r="B16" t="s">
        <v>6</v>
      </c>
    </row>
    <row r="17" spans="1:5" ht="43.5" x14ac:dyDescent="0.35">
      <c r="A17" t="s">
        <v>55</v>
      </c>
      <c r="B17" t="s">
        <v>46</v>
      </c>
      <c r="C17" s="1" t="s">
        <v>56</v>
      </c>
      <c r="D17" s="1" t="s">
        <v>57</v>
      </c>
      <c r="E17" s="1" t="s">
        <v>58</v>
      </c>
    </row>
    <row r="18" spans="1:5" x14ac:dyDescent="0.35">
      <c r="A18" t="s">
        <v>59</v>
      </c>
      <c r="B18" t="s">
        <v>6</v>
      </c>
      <c r="E18" s="1" t="s">
        <v>39</v>
      </c>
    </row>
    <row r="19" spans="1:5" x14ac:dyDescent="0.35">
      <c r="A19" t="s">
        <v>60</v>
      </c>
      <c r="B19" t="s">
        <v>6</v>
      </c>
      <c r="E19" s="1" t="s">
        <v>39</v>
      </c>
    </row>
    <row r="20" spans="1:5" ht="43.5" x14ac:dyDescent="0.35">
      <c r="A20" t="s">
        <v>61</v>
      </c>
      <c r="B20" t="s">
        <v>46</v>
      </c>
      <c r="C20" s="1" t="s">
        <v>62</v>
      </c>
      <c r="D20" s="1" t="s">
        <v>57</v>
      </c>
      <c r="E20" s="1" t="s">
        <v>63</v>
      </c>
    </row>
    <row r="22" spans="1:5" x14ac:dyDescent="0.35">
      <c r="A22" t="s">
        <v>64</v>
      </c>
    </row>
    <row r="23" spans="1:5" x14ac:dyDescent="0.35">
      <c r="A23" t="s">
        <v>65</v>
      </c>
    </row>
    <row r="24" spans="1:5" x14ac:dyDescent="0.35">
      <c r="A24" t="s">
        <v>66</v>
      </c>
    </row>
    <row r="26" spans="1:5" x14ac:dyDescent="0.35">
      <c r="A26"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6D5BB-88CF-47A4-87CA-B277A022247A}">
  <dimension ref="A1:G32"/>
  <sheetViews>
    <sheetView tabSelected="1" topLeftCell="A7" workbookViewId="0">
      <selection activeCell="D29" sqref="D29"/>
    </sheetView>
  </sheetViews>
  <sheetFormatPr defaultRowHeight="14.5" x14ac:dyDescent="0.35"/>
  <cols>
    <col min="1" max="1" width="37.36328125" customWidth="1"/>
    <col min="2" max="2" width="34.08984375" customWidth="1"/>
    <col min="3" max="6" width="39.7265625" customWidth="1"/>
    <col min="7" max="7" width="61" customWidth="1"/>
  </cols>
  <sheetData>
    <row r="1" spans="1:7" x14ac:dyDescent="0.35">
      <c r="A1" t="s">
        <v>0</v>
      </c>
      <c r="B1" t="s">
        <v>1</v>
      </c>
      <c r="C1" s="2" t="s">
        <v>2</v>
      </c>
      <c r="D1" s="2" t="s">
        <v>73</v>
      </c>
      <c r="E1" s="2" t="s">
        <v>75</v>
      </c>
      <c r="F1" s="2"/>
      <c r="G1" s="1" t="s">
        <v>3</v>
      </c>
    </row>
    <row r="2" spans="1:7" ht="50" customHeight="1" x14ac:dyDescent="0.35">
      <c r="A2" t="s">
        <v>5</v>
      </c>
      <c r="B2" t="s">
        <v>6</v>
      </c>
      <c r="C2" s="1" t="s">
        <v>72</v>
      </c>
      <c r="D2" s="1">
        <f>3*12</f>
        <v>36</v>
      </c>
      <c r="E2" s="1" t="s">
        <v>76</v>
      </c>
      <c r="F2" s="1" t="s">
        <v>74</v>
      </c>
      <c r="G2" s="1" t="s">
        <v>8</v>
      </c>
    </row>
    <row r="3" spans="1:7" ht="29" customHeight="1" x14ac:dyDescent="0.35">
      <c r="A3" t="s">
        <v>5</v>
      </c>
      <c r="B3" t="s">
        <v>6</v>
      </c>
      <c r="C3" s="1" t="s">
        <v>68</v>
      </c>
      <c r="D3" s="1"/>
      <c r="E3" s="1">
        <f>6/1000*12</f>
        <v>7.2000000000000008E-2</v>
      </c>
      <c r="F3" s="1"/>
      <c r="G3" s="1"/>
    </row>
    <row r="4" spans="1:7" ht="29" customHeight="1" x14ac:dyDescent="0.35">
      <c r="A4" t="s">
        <v>5</v>
      </c>
      <c r="B4" t="s">
        <v>6</v>
      </c>
      <c r="C4" s="1" t="s">
        <v>69</v>
      </c>
      <c r="D4" s="1">
        <f>(37.2+18.9)/2</f>
        <v>28.05</v>
      </c>
      <c r="E4" s="1"/>
      <c r="F4" s="1"/>
      <c r="G4" s="1"/>
    </row>
    <row r="5" spans="1:7" ht="29" customHeight="1" x14ac:dyDescent="0.35">
      <c r="A5" t="s">
        <v>5</v>
      </c>
      <c r="B5" t="s">
        <v>6</v>
      </c>
      <c r="C5" s="1" t="s">
        <v>70</v>
      </c>
      <c r="D5" s="1">
        <f>(2+1.1)/2*12</f>
        <v>18.600000000000001</v>
      </c>
      <c r="E5" s="1"/>
      <c r="F5" s="1"/>
      <c r="G5" s="1"/>
    </row>
    <row r="6" spans="1:7" ht="29" customHeight="1" x14ac:dyDescent="0.35">
      <c r="A6" t="s">
        <v>5</v>
      </c>
      <c r="B6" t="s">
        <v>6</v>
      </c>
      <c r="C6" s="1" t="s">
        <v>71</v>
      </c>
      <c r="D6" s="1"/>
      <c r="E6" s="1" t="s">
        <v>77</v>
      </c>
      <c r="F6" s="1"/>
      <c r="G6" s="1"/>
    </row>
    <row r="7" spans="1:7" ht="31" x14ac:dyDescent="0.35">
      <c r="A7" t="s">
        <v>10</v>
      </c>
      <c r="B7" t="s">
        <v>6</v>
      </c>
      <c r="C7" s="1" t="s">
        <v>11</v>
      </c>
      <c r="D7" s="1">
        <f>0.05*12</f>
        <v>0.60000000000000009</v>
      </c>
      <c r="E7" s="1"/>
      <c r="F7" s="1"/>
      <c r="G7" s="1" t="s">
        <v>12</v>
      </c>
    </row>
    <row r="8" spans="1:7" ht="29" x14ac:dyDescent="0.35">
      <c r="A8" t="s">
        <v>14</v>
      </c>
      <c r="B8" t="s">
        <v>6</v>
      </c>
      <c r="C8" s="1" t="s">
        <v>15</v>
      </c>
      <c r="D8" s="1">
        <v>300</v>
      </c>
      <c r="E8" s="1"/>
      <c r="F8" s="1"/>
      <c r="G8" s="1" t="s">
        <v>16</v>
      </c>
    </row>
    <row r="9" spans="1:7" ht="31" x14ac:dyDescent="0.35">
      <c r="A9" t="s">
        <v>18</v>
      </c>
      <c r="B9" t="s">
        <v>19</v>
      </c>
      <c r="C9" s="1" t="s">
        <v>79</v>
      </c>
      <c r="D9" s="1"/>
      <c r="E9" s="1">
        <f>21.4*0.6*12</f>
        <v>154.07999999999998</v>
      </c>
      <c r="F9" s="1" t="s">
        <v>80</v>
      </c>
      <c r="G9" s="1" t="s">
        <v>21</v>
      </c>
    </row>
    <row r="10" spans="1:7" x14ac:dyDescent="0.35">
      <c r="A10" t="s">
        <v>18</v>
      </c>
      <c r="C10" s="1" t="s">
        <v>78</v>
      </c>
      <c r="D10" s="1">
        <f>0.001*12</f>
        <v>1.2E-2</v>
      </c>
      <c r="E10" s="1"/>
      <c r="F10" s="1"/>
      <c r="G10" s="1"/>
    </row>
    <row r="11" spans="1:7" x14ac:dyDescent="0.35">
      <c r="A11" t="s">
        <v>23</v>
      </c>
      <c r="B11" t="s">
        <v>6</v>
      </c>
      <c r="C11" s="1" t="s">
        <v>81</v>
      </c>
      <c r="D11" s="1"/>
      <c r="E11" s="1">
        <f>(14.4+87.8)/2*12/1000</f>
        <v>0.61320000000000008</v>
      </c>
      <c r="F11" s="1"/>
      <c r="G11" s="1"/>
    </row>
    <row r="12" spans="1:7" x14ac:dyDescent="0.35">
      <c r="A12" t="s">
        <v>23</v>
      </c>
      <c r="B12" t="s">
        <v>6</v>
      </c>
      <c r="C12" s="1" t="s">
        <v>82</v>
      </c>
      <c r="D12" s="1"/>
      <c r="E12" s="1">
        <f>(25.4+73.8)/2*12/1000</f>
        <v>0.59519999999999995</v>
      </c>
      <c r="F12" s="1"/>
      <c r="G12" s="1"/>
    </row>
    <row r="13" spans="1:7" x14ac:dyDescent="0.35">
      <c r="A13" t="s">
        <v>23</v>
      </c>
      <c r="B13" t="s">
        <v>6</v>
      </c>
      <c r="C13" s="1" t="s">
        <v>83</v>
      </c>
      <c r="D13" s="1"/>
      <c r="E13" s="1">
        <f>(0.04+2.05)/2*0.1</f>
        <v>0.1045</v>
      </c>
      <c r="F13" s="1"/>
      <c r="G13" s="1"/>
    </row>
    <row r="14" spans="1:7" x14ac:dyDescent="0.35">
      <c r="A14" t="s">
        <v>23</v>
      </c>
      <c r="B14" t="s">
        <v>6</v>
      </c>
      <c r="C14" t="s">
        <v>84</v>
      </c>
      <c r="E14" s="1">
        <f>(0.04+3.38)/2*0.1</f>
        <v>0.17100000000000001</v>
      </c>
    </row>
    <row r="15" spans="1:7" x14ac:dyDescent="0.35">
      <c r="A15" t="s">
        <v>23</v>
      </c>
      <c r="B15" t="s">
        <v>6</v>
      </c>
      <c r="C15" s="1" t="s">
        <v>85</v>
      </c>
      <c r="D15" s="1">
        <f>0.015*12</f>
        <v>0.18</v>
      </c>
      <c r="E15" s="1"/>
      <c r="F15" s="1"/>
      <c r="G15" s="1"/>
    </row>
    <row r="16" spans="1:7" ht="29" x14ac:dyDescent="0.35">
      <c r="A16" t="s">
        <v>23</v>
      </c>
      <c r="B16" t="s">
        <v>6</v>
      </c>
      <c r="C16" s="1" t="s">
        <v>86</v>
      </c>
      <c r="D16" s="1">
        <f>0.01*12</f>
        <v>0.12</v>
      </c>
      <c r="E16" s="1"/>
      <c r="F16" s="1"/>
      <c r="G16" s="1" t="s">
        <v>25</v>
      </c>
    </row>
    <row r="17" spans="1:7" ht="43.5" x14ac:dyDescent="0.35">
      <c r="A17" t="s">
        <v>27</v>
      </c>
      <c r="B17" t="s">
        <v>19</v>
      </c>
      <c r="C17" s="1" t="s">
        <v>89</v>
      </c>
      <c r="D17" s="1">
        <f>0.83*12</f>
        <v>9.9599999999999991</v>
      </c>
      <c r="E17" s="1"/>
      <c r="F17" s="1"/>
      <c r="G17" s="1" t="s">
        <v>29</v>
      </c>
    </row>
    <row r="18" spans="1:7" ht="29" x14ac:dyDescent="0.35">
      <c r="A18" t="s">
        <v>27</v>
      </c>
      <c r="B18" t="s">
        <v>19</v>
      </c>
      <c r="C18" s="1" t="s">
        <v>87</v>
      </c>
      <c r="D18" s="1">
        <f>1.55*12</f>
        <v>18.600000000000001</v>
      </c>
      <c r="E18" s="1"/>
      <c r="F18" s="1"/>
      <c r="G18" s="1"/>
    </row>
    <row r="19" spans="1:7" x14ac:dyDescent="0.35">
      <c r="A19" t="s">
        <v>27</v>
      </c>
      <c r="B19" t="s">
        <v>19</v>
      </c>
      <c r="C19" s="1" t="s">
        <v>88</v>
      </c>
      <c r="D19" s="1">
        <f>(1.1+1.7)/2*12</f>
        <v>16.799999999999997</v>
      </c>
      <c r="E19" s="1"/>
      <c r="F19" s="1"/>
      <c r="G19" s="1"/>
    </row>
    <row r="20" spans="1:7" x14ac:dyDescent="0.35">
      <c r="A20" t="s">
        <v>30</v>
      </c>
      <c r="B20" t="s">
        <v>6</v>
      </c>
      <c r="C20" s="2" t="s">
        <v>90</v>
      </c>
      <c r="D20" s="2">
        <f>(1.24+4.12)/2*12</f>
        <v>32.160000000000004</v>
      </c>
      <c r="E20" s="2"/>
      <c r="F20" s="2"/>
      <c r="G20" s="1"/>
    </row>
    <row r="21" spans="1:7" x14ac:dyDescent="0.35">
      <c r="A21" t="s">
        <v>32</v>
      </c>
      <c r="B21" t="s">
        <v>6</v>
      </c>
      <c r="C21" s="2" t="s">
        <v>33</v>
      </c>
      <c r="D21" s="2">
        <f>4.12*12</f>
        <v>49.44</v>
      </c>
      <c r="E21" s="2"/>
      <c r="F21" s="2"/>
      <c r="G21" s="1" t="s">
        <v>34</v>
      </c>
    </row>
    <row r="22" spans="1:7" x14ac:dyDescent="0.35">
      <c r="A22" t="s">
        <v>35</v>
      </c>
      <c r="B22" t="s">
        <v>36</v>
      </c>
      <c r="C22" s="2"/>
      <c r="D22" s="2"/>
      <c r="E22" s="2"/>
      <c r="F22" s="2"/>
      <c r="G22" s="1"/>
    </row>
    <row r="23" spans="1:7" x14ac:dyDescent="0.35">
      <c r="A23" t="s">
        <v>37</v>
      </c>
      <c r="B23" t="s">
        <v>38</v>
      </c>
      <c r="C23" s="2"/>
      <c r="D23" s="2"/>
      <c r="E23" s="2"/>
      <c r="F23" s="2"/>
      <c r="G23" s="1"/>
    </row>
    <row r="24" spans="1:7" ht="72.5" x14ac:dyDescent="0.35">
      <c r="A24" t="s">
        <v>40</v>
      </c>
      <c r="B24" t="s">
        <v>6</v>
      </c>
      <c r="C24" s="1" t="s">
        <v>41</v>
      </c>
      <c r="D24" s="1">
        <v>1</v>
      </c>
      <c r="E24" s="1"/>
      <c r="F24" s="1"/>
      <c r="G24" s="1" t="s">
        <v>42</v>
      </c>
    </row>
    <row r="25" spans="1:7" x14ac:dyDescent="0.35">
      <c r="A25" t="s">
        <v>44</v>
      </c>
      <c r="B25" t="s">
        <v>38</v>
      </c>
      <c r="C25" s="2"/>
      <c r="D25" s="2"/>
      <c r="E25" s="2"/>
      <c r="F25" s="2"/>
      <c r="G25" s="1"/>
    </row>
    <row r="26" spans="1:7" ht="62" x14ac:dyDescent="0.35">
      <c r="A26" t="s">
        <v>45</v>
      </c>
      <c r="B26" t="s">
        <v>46</v>
      </c>
      <c r="C26" s="1" t="s">
        <v>47</v>
      </c>
      <c r="D26" s="1">
        <f>(4/1000)*12</f>
        <v>4.8000000000000001E-2</v>
      </c>
      <c r="E26" s="1"/>
      <c r="F26" s="1"/>
      <c r="G26" s="1" t="s">
        <v>48</v>
      </c>
    </row>
    <row r="27" spans="1:7" ht="16.5" x14ac:dyDescent="0.35">
      <c r="A27" t="s">
        <v>50</v>
      </c>
      <c r="B27" t="s">
        <v>6</v>
      </c>
      <c r="C27" s="4" t="s">
        <v>91</v>
      </c>
      <c r="D27" s="4">
        <v>25</v>
      </c>
      <c r="E27" s="4"/>
      <c r="F27" s="4"/>
      <c r="G27" s="1" t="s">
        <v>52</v>
      </c>
    </row>
    <row r="28" spans="1:7" x14ac:dyDescent="0.35">
      <c r="A28" t="s">
        <v>54</v>
      </c>
      <c r="B28" t="s">
        <v>6</v>
      </c>
      <c r="C28" s="2"/>
      <c r="D28" s="2"/>
      <c r="E28" s="2"/>
      <c r="F28" s="2"/>
      <c r="G28" s="1"/>
    </row>
    <row r="29" spans="1:7" ht="29" x14ac:dyDescent="0.35">
      <c r="A29" t="s">
        <v>55</v>
      </c>
      <c r="B29" t="s">
        <v>46</v>
      </c>
      <c r="C29" s="1" t="s">
        <v>56</v>
      </c>
      <c r="D29" s="1"/>
      <c r="E29" s="1"/>
      <c r="F29" s="1"/>
      <c r="G29" s="1" t="s">
        <v>57</v>
      </c>
    </row>
    <row r="30" spans="1:7" x14ac:dyDescent="0.35">
      <c r="A30" t="s">
        <v>59</v>
      </c>
      <c r="B30" t="s">
        <v>6</v>
      </c>
      <c r="C30" s="2"/>
      <c r="D30" s="2"/>
      <c r="E30" s="2"/>
      <c r="F30" s="2"/>
      <c r="G30" s="1"/>
    </row>
    <row r="31" spans="1:7" x14ac:dyDescent="0.35">
      <c r="A31" t="s">
        <v>60</v>
      </c>
      <c r="B31" t="s">
        <v>6</v>
      </c>
      <c r="C31" s="2"/>
      <c r="D31" s="2"/>
      <c r="E31" s="2"/>
      <c r="F31" s="2"/>
      <c r="G31" s="1"/>
    </row>
    <row r="32" spans="1:7" ht="29" x14ac:dyDescent="0.35">
      <c r="A32" t="s">
        <v>61</v>
      </c>
      <c r="B32" t="s">
        <v>46</v>
      </c>
      <c r="C32" s="1" t="s">
        <v>62</v>
      </c>
      <c r="D32" s="1">
        <v>1.5499999999999999E-3</v>
      </c>
      <c r="E32" s="1"/>
      <c r="F32" s="1"/>
      <c r="G32" s="1"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044FA14B891D64CA4509A0E18DE216B" ma:contentTypeVersion="4" ma:contentTypeDescription="Create a new document." ma:contentTypeScope="" ma:versionID="dc70ca28f63288db1ebb4d9994508ec1">
  <xsd:schema xmlns:xsd="http://www.w3.org/2001/XMLSchema" xmlns:xs="http://www.w3.org/2001/XMLSchema" xmlns:p="http://schemas.microsoft.com/office/2006/metadata/properties" xmlns:ns2="9db361d5-1d0e-44b7-9a51-b99fafef54f7" targetNamespace="http://schemas.microsoft.com/office/2006/metadata/properties" ma:root="true" ma:fieldsID="e87df8b100a6237ddd3748580686bc0b" ns2:_="">
    <xsd:import namespace="9db361d5-1d0e-44b7-9a51-b99fafef54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b361d5-1d0e-44b7-9a51-b99fafef54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B2123C-0D39-4A59-ADB0-D05F4398C7E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FCA1127-4B4D-44F5-988A-9915DD57D7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b361d5-1d0e-44b7-9a51-b99fafef54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46BAF1-7BB5-415A-9954-46EAA3B26F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Hartman, Rosemary@DWR (she/her)</cp:lastModifiedBy>
  <cp:revision/>
  <dcterms:created xsi:type="dcterms:W3CDTF">2025-11-24T17:47:32Z</dcterms:created>
  <dcterms:modified xsi:type="dcterms:W3CDTF">2026-05-01T20:38:20Z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0x010100D044FA14B891D64CA4509A0E18DE216B</vt:lpwstr>
  </property>
</Properties>
</file>